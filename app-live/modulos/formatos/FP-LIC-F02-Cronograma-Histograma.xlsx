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Histogr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81860"/>
      <sz val="15"/>
    </font>
    <font>
      <name val="Arial"/>
      <color rgb="005B6B82"/>
      <sz val="9"/>
    </font>
    <font>
      <name val="Arial"/>
      <b val="1"/>
      <color rgb="00081860"/>
      <sz val="10"/>
    </font>
    <font>
      <name val="Arial"/>
      <color rgb="000000FF"/>
      <sz val="10"/>
    </font>
    <font>
      <name val="Arial"/>
      <i val="1"/>
      <color rgb="005B6B82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9"/>
    </font>
    <font>
      <name val="Arial"/>
      <b val="1"/>
      <sz val="10"/>
    </font>
    <font>
      <name val="Arial"/>
      <color rgb="0008186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38C0A8"/>
        <bgColor rgb="0038C0A8"/>
      </patternFill>
    </fill>
    <fill>
      <patternFill patternType="solid">
        <fgColor rgb="00FFF6CC"/>
        <bgColor rgb="00FFF6CC"/>
      </patternFill>
    </fill>
    <fill>
      <patternFill patternType="solid">
        <fgColor rgb="00081860"/>
        <bgColor rgb="00081860"/>
      </patternFill>
    </fill>
  </fills>
  <borders count="2">
    <border>
      <left/>
      <right/>
      <top/>
      <bottom/>
      <diagonal/>
    </border>
    <border>
      <left style="thin">
        <color rgb="00C9D1DE"/>
      </left>
      <right style="thin">
        <color rgb="00C9D1DE"/>
      </right>
      <top style="thin">
        <color rgb="00C9D1DE"/>
      </top>
      <bottom style="thin">
        <color rgb="00C9D1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10" fillId="0" borderId="0" pivotButton="0" quotePrefix="0" xfId="0"/>
    <xf numFmtId="3" fontId="11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name val="Arial"/>
        <color rgb="0038C0A8"/>
      </font>
      <fill>
        <patternFill patternType="solid">
          <fgColor rgb="0038C0A8"/>
          <bgColor rgb="0038C0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Personal en obra por semana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081860"/>
            </a:solidFill>
            <a:ln xmlns:a="http://schemas.openxmlformats.org/drawingml/2006/main">
              <a:prstDash val="solid"/>
            </a:ln>
          </spPr>
          <cat>
            <numRef>
              <f>'Histograma'!$C$7:$R$7</f>
            </numRef>
          </cat>
          <val>
            <numRef>
              <f>'Histograma'!$C$17:$R$17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Friopacking</author>
  </authors>
  <commentList>
    <comment ref="A18" authorId="0" shapeId="0">
      <text>
        <t>Supuesto: jornada de 48 horas semanales (8 h × 6 días). Ajuste si su régimen es distinto.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714500" cy="542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0"/>
  <sheetViews>
    <sheetView showGridLines="0" workbookViewId="0">
      <pane xSplit="4" ySplit="15" topLeftCell="E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</cols>
  <sheetData>
    <row r="1" ht="24" customHeight="1">
      <c r="C1" s="1" t="inlineStr">
        <is>
          <t>CRONOGRAMA DE EJECUCIÓN</t>
        </is>
      </c>
    </row>
    <row r="2" ht="24" customHeight="1">
      <c r="C2" s="2" t="inlineStr">
        <is>
          <t>FP-LIC-F02 · Formato obligatorio para enviar la oferta en el Portal de Contratistas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5">
      <c r="A5" s="4" t="inlineStr">
        <is>
          <t>Licitación (código)</t>
        </is>
      </c>
      <c r="B5" s="5" t="n"/>
      <c r="C5" s="6" t="inlineStr">
        <is>
          <t>LIC-2026-0002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A6" s="4" t="inlineStr">
        <is>
          <t>Obra / Proyecto</t>
        </is>
      </c>
      <c r="B6" s="5" t="n"/>
      <c r="C6" s="6" t="inlineStr">
        <is>
          <t>AGROBERRIES VIRÚ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4" t="inlineStr">
        <is>
          <t>Contratista (razón social)</t>
        </is>
      </c>
      <c r="B7" s="5" t="n"/>
      <c r="C7" s="6" t="inlineStr">
        <is>
          <t>Montajes del Sur S.A.C.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A8" s="4" t="inlineStr">
        <is>
          <t>RUC</t>
        </is>
      </c>
      <c r="B8" s="5" t="n"/>
      <c r="C8" s="6" t="inlineStr">
        <is>
          <t>20601234567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A9" s="4" t="inlineStr">
        <is>
          <t>Representante legal</t>
        </is>
      </c>
      <c r="B9" s="5" t="n"/>
      <c r="C9" s="6" t="inlineStr">
        <is>
          <t>Juan Pérez Rojas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4" t="inlineStr">
        <is>
          <t>Fecha de la oferta</t>
        </is>
      </c>
      <c r="B10" s="5" t="n"/>
      <c r="C10" s="6" t="inlineStr">
        <is>
          <t>2026-09-24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A11" s="4" t="inlineStr">
        <is>
          <t>Fecha de inicio propuesta</t>
        </is>
      </c>
      <c r="B11" s="5" t="n"/>
      <c r="C11" s="6" t="inlineStr">
        <is>
          <t>2026-10-05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3" ht="42" customHeight="1">
      <c r="A13" s="7" t="inlineStr">
        <is>
          <t>Cómo llenarlo: una fila por actividad (use las partidas de la licitación). En las semanas en que se ejecuta la actividad escriba 1; la barra se pinta sola. Luego llene la hoja HISTOGRAMA con cuántas personas tendrá en obra cada semana. Las filas en azul son ejemplo.</t>
        </is>
      </c>
    </row>
    <row r="15" ht="30" customHeight="1">
      <c r="A15" s="8" t="inlineStr">
        <is>
          <t>N°</t>
        </is>
      </c>
      <c r="B15" s="8" t="inlineStr">
        <is>
          <t>Actividad / partida</t>
        </is>
      </c>
      <c r="C15" s="8" t="inlineStr">
        <is>
          <t>Duración (sem.)</t>
        </is>
      </c>
      <c r="D15" s="8" t="inlineStr">
        <is>
          <t>Inicio (sem.)</t>
        </is>
      </c>
      <c r="E15" s="8" t="inlineStr">
        <is>
          <t>S1</t>
        </is>
      </c>
      <c r="F15" s="8" t="inlineStr">
        <is>
          <t>S2</t>
        </is>
      </c>
      <c r="G15" s="8" t="inlineStr">
        <is>
          <t>S3</t>
        </is>
      </c>
      <c r="H15" s="8" t="inlineStr">
        <is>
          <t>S4</t>
        </is>
      </c>
      <c r="I15" s="8" t="inlineStr">
        <is>
          <t>S5</t>
        </is>
      </c>
      <c r="J15" s="8" t="inlineStr">
        <is>
          <t>S6</t>
        </is>
      </c>
      <c r="K15" s="8" t="inlineStr">
        <is>
          <t>S7</t>
        </is>
      </c>
      <c r="L15" s="8" t="inlineStr">
        <is>
          <t>S8</t>
        </is>
      </c>
      <c r="M15" s="8" t="inlineStr">
        <is>
          <t>S9</t>
        </is>
      </c>
      <c r="N15" s="8" t="inlineStr">
        <is>
          <t>S10</t>
        </is>
      </c>
      <c r="O15" s="8" t="inlineStr">
        <is>
          <t>S11</t>
        </is>
      </c>
      <c r="P15" s="8" t="inlineStr">
        <is>
          <t>S12</t>
        </is>
      </c>
      <c r="Q15" s="8" t="inlineStr">
        <is>
          <t>S13</t>
        </is>
      </c>
      <c r="R15" s="8" t="inlineStr">
        <is>
          <t>S14</t>
        </is>
      </c>
      <c r="S15" s="8" t="inlineStr">
        <is>
          <t>S15</t>
        </is>
      </c>
      <c r="T15" s="8" t="inlineStr">
        <is>
          <t>S16</t>
        </is>
      </c>
    </row>
    <row r="16">
      <c r="A16" s="9" t="n">
        <v>1</v>
      </c>
      <c r="B16" s="6" t="inlineStr">
        <is>
          <t>Movilización e instalación de campamento</t>
        </is>
      </c>
      <c r="C16" s="10">
        <f>IF(COUNT(E16:T16)=0,"",COUNT(E16:T16))</f>
        <v/>
      </c>
      <c r="D16" s="10">
        <f>IFERROR(MATCH(1,E16:T16,0),"")</f>
        <v/>
      </c>
      <c r="E16" s="11" t="n">
        <v>1</v>
      </c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9" t="n">
        <v>2</v>
      </c>
      <c r="B17" s="6" t="inlineStr">
        <is>
          <t>Montaje de panel isotérmico</t>
        </is>
      </c>
      <c r="C17" s="10">
        <f>IF(COUNT(E17:T17)=0,"",COUNT(E17:T17))</f>
        <v/>
      </c>
      <c r="D17" s="10">
        <f>IFERROR(MATCH(1,E17:T17,0),"")</f>
        <v/>
      </c>
      <c r="E17" s="11" t="n"/>
      <c r="F17" s="11" t="n">
        <v>1</v>
      </c>
      <c r="G17" s="11" t="n">
        <v>1</v>
      </c>
      <c r="H17" s="11" t="n">
        <v>1</v>
      </c>
      <c r="I17" s="11" t="n">
        <v>1</v>
      </c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9" t="n">
        <v>3</v>
      </c>
      <c r="B18" s="6" t="inlineStr">
        <is>
          <t>Hermetizado de juntas</t>
        </is>
      </c>
      <c r="C18" s="10">
        <f>IF(COUNT(E18:T18)=0,"",COUNT(E18:T18))</f>
        <v/>
      </c>
      <c r="D18" s="10">
        <f>IFERROR(MATCH(1,E18:T18,0),"")</f>
        <v/>
      </c>
      <c r="E18" s="11" t="n"/>
      <c r="F18" s="11" t="n"/>
      <c r="G18" s="11" t="n"/>
      <c r="H18" s="11" t="n"/>
      <c r="I18" s="11" t="n">
        <v>1</v>
      </c>
      <c r="J18" s="11" t="n">
        <v>1</v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9" t="n">
        <v>4</v>
      </c>
      <c r="B19" s="6" t="inlineStr">
        <is>
          <t>Pruebas y entrega</t>
        </is>
      </c>
      <c r="C19" s="10">
        <f>IF(COUNT(E19:T19)=0,"",COUNT(E19:T19))</f>
        <v/>
      </c>
      <c r="D19" s="10">
        <f>IFERROR(MATCH(1,E19:T19,0),"")</f>
        <v/>
      </c>
      <c r="E19" s="11" t="n"/>
      <c r="F19" s="11" t="n"/>
      <c r="G19" s="11" t="n"/>
      <c r="H19" s="11" t="n"/>
      <c r="I19" s="11" t="n"/>
      <c r="J19" s="11" t="n"/>
      <c r="K19" s="11" t="n">
        <v>1</v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9" t="n">
        <v>5</v>
      </c>
      <c r="B20" s="6" t="n"/>
      <c r="C20" s="10">
        <f>IF(COUNT(E20:T20)=0,"",COUNT(E20:T20))</f>
        <v/>
      </c>
      <c r="D20" s="10">
        <f>IFERROR(MATCH(1,E20:T20,0),"")</f>
        <v/>
      </c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9" t="n">
        <v>6</v>
      </c>
      <c r="B21" s="6" t="n"/>
      <c r="C21" s="10">
        <f>IF(COUNT(E21:T21)=0,"",COUNT(E21:T21))</f>
        <v/>
      </c>
      <c r="D21" s="10">
        <f>IFERROR(MATCH(1,E21:T21,0),"")</f>
        <v/>
      </c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9" t="n">
        <v>7</v>
      </c>
      <c r="B22" s="6" t="n"/>
      <c r="C22" s="10">
        <f>IF(COUNT(E22:T22)=0,"",COUNT(E22:T22))</f>
        <v/>
      </c>
      <c r="D22" s="10">
        <f>IFERROR(MATCH(1,E22:T22,0),"")</f>
        <v/>
      </c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>
      <c r="A23" s="9" t="n">
        <v>8</v>
      </c>
      <c r="B23" s="6" t="n"/>
      <c r="C23" s="10">
        <f>IF(COUNT(E23:T23)=0,"",COUNT(E23:T23))</f>
        <v/>
      </c>
      <c r="D23" s="10">
        <f>IFERROR(MATCH(1,E23:T23,0),"")</f>
        <v/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</row>
    <row r="24">
      <c r="A24" s="9" t="n">
        <v>9</v>
      </c>
      <c r="B24" s="6" t="n"/>
      <c r="C24" s="10">
        <f>IF(COUNT(E24:T24)=0,"",COUNT(E24:T24))</f>
        <v/>
      </c>
      <c r="D24" s="10">
        <f>IFERROR(MATCH(1,E24:T24,0),"")</f>
        <v/>
      </c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</row>
    <row r="25">
      <c r="A25" s="9" t="n">
        <v>10</v>
      </c>
      <c r="B25" s="6" t="n"/>
      <c r="C25" s="10">
        <f>IF(COUNT(E25:T25)=0,"",COUNT(E25:T25))</f>
        <v/>
      </c>
      <c r="D25" s="10">
        <f>IFERROR(MATCH(1,E25:T25,0),"")</f>
        <v/>
      </c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9" t="n">
        <v>11</v>
      </c>
      <c r="B26" s="6" t="n"/>
      <c r="C26" s="10">
        <f>IF(COUNT(E26:T26)=0,"",COUNT(E26:T26))</f>
        <v/>
      </c>
      <c r="D26" s="10">
        <f>IFERROR(MATCH(1,E26:T26,0),"")</f>
        <v/>
      </c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</row>
    <row r="27">
      <c r="A27" s="9" t="n">
        <v>12</v>
      </c>
      <c r="B27" s="6" t="n"/>
      <c r="C27" s="10">
        <f>IF(COUNT(E27:T27)=0,"",COUNT(E27:T27))</f>
        <v/>
      </c>
      <c r="D27" s="10">
        <f>IFERROR(MATCH(1,E27:T27,0),"")</f>
        <v/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>
      <c r="A28" s="9" t="n">
        <v>13</v>
      </c>
      <c r="B28" s="6" t="n"/>
      <c r="C28" s="10">
        <f>IF(COUNT(E28:T28)=0,"",COUNT(E28:T28))</f>
        <v/>
      </c>
      <c r="D28" s="10">
        <f>IFERROR(MATCH(1,E28:T28,0),"")</f>
        <v/>
      </c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</row>
    <row r="29">
      <c r="A29" s="9" t="n">
        <v>14</v>
      </c>
      <c r="B29" s="6" t="n"/>
      <c r="C29" s="10">
        <f>IF(COUNT(E29:T29)=0,"",COUNT(E29:T29))</f>
        <v/>
      </c>
      <c r="D29" s="10">
        <f>IFERROR(MATCH(1,E29:T29,0),"")</f>
        <v/>
      </c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>
      <c r="A30" s="9" t="n">
        <v>15</v>
      </c>
      <c r="B30" s="6" t="n"/>
      <c r="C30" s="10">
        <f>IF(COUNT(E30:T30)=0,"",COUNT(E30:T30))</f>
        <v/>
      </c>
      <c r="D30" s="10">
        <f>IFERROR(MATCH(1,E30:T30,0),"")</f>
        <v/>
      </c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</row>
    <row r="31">
      <c r="A31" s="9" t="n">
        <v>16</v>
      </c>
      <c r="B31" s="6" t="n"/>
      <c r="C31" s="10">
        <f>IF(COUNT(E31:T31)=0,"",COUNT(E31:T31))</f>
        <v/>
      </c>
      <c r="D31" s="10">
        <f>IFERROR(MATCH(1,E31:T31,0),"")</f>
        <v/>
      </c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</row>
    <row r="32">
      <c r="A32" s="9" t="n">
        <v>17</v>
      </c>
      <c r="B32" s="6" t="n"/>
      <c r="C32" s="10">
        <f>IF(COUNT(E32:T32)=0,"",COUNT(E32:T32))</f>
        <v/>
      </c>
      <c r="D32" s="10">
        <f>IFERROR(MATCH(1,E32:T32,0),"")</f>
        <v/>
      </c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</row>
    <row r="33">
      <c r="A33" s="9" t="n">
        <v>18</v>
      </c>
      <c r="B33" s="6" t="n"/>
      <c r="C33" s="10">
        <f>IF(COUNT(E33:T33)=0,"",COUNT(E33:T33))</f>
        <v/>
      </c>
      <c r="D33" s="10">
        <f>IFERROR(MATCH(1,E33:T33,0),"")</f>
        <v/>
      </c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</row>
    <row r="34">
      <c r="A34" s="9" t="n">
        <v>19</v>
      </c>
      <c r="B34" s="6" t="n"/>
      <c r="C34" s="10">
        <f>IF(COUNT(E34:T34)=0,"",COUNT(E34:T34))</f>
        <v/>
      </c>
      <c r="D34" s="10">
        <f>IFERROR(MATCH(1,E34:T34,0),"")</f>
        <v/>
      </c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</row>
    <row r="35">
      <c r="A35" s="9" t="n">
        <v>20</v>
      </c>
      <c r="B35" s="6" t="n"/>
      <c r="C35" s="10">
        <f>IF(COUNT(E35:T35)=0,"",COUNT(E35:T35))</f>
        <v/>
      </c>
      <c r="D35" s="10">
        <f>IFERROR(MATCH(1,E35:T35,0),"")</f>
        <v/>
      </c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</row>
    <row r="36">
      <c r="A36" s="9" t="n">
        <v>21</v>
      </c>
      <c r="B36" s="6" t="n"/>
      <c r="C36" s="10">
        <f>IF(COUNT(E36:T36)=0,"",COUNT(E36:T36))</f>
        <v/>
      </c>
      <c r="D36" s="10">
        <f>IFERROR(MATCH(1,E36:T36,0),"")</f>
        <v/>
      </c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</row>
    <row r="37">
      <c r="A37" s="9" t="n">
        <v>22</v>
      </c>
      <c r="B37" s="6" t="n"/>
      <c r="C37" s="10">
        <f>IF(COUNT(E37:T37)=0,"",COUNT(E37:T37))</f>
        <v/>
      </c>
      <c r="D37" s="10">
        <f>IFERROR(MATCH(1,E37:T37,0),"")</f>
        <v/>
      </c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</row>
    <row r="38">
      <c r="A38" s="9" t="n">
        <v>23</v>
      </c>
      <c r="B38" s="6" t="n"/>
      <c r="C38" s="10">
        <f>IF(COUNT(E38:T38)=0,"",COUNT(E38:T38))</f>
        <v/>
      </c>
      <c r="D38" s="10">
        <f>IFERROR(MATCH(1,E38:T38,0),"")</f>
        <v/>
      </c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</row>
    <row r="39">
      <c r="A39" s="9" t="n">
        <v>24</v>
      </c>
      <c r="B39" s="6" t="n"/>
      <c r="C39" s="10">
        <f>IF(COUNT(E39:T39)=0,"",COUNT(E39:T39))</f>
        <v/>
      </c>
      <c r="D39" s="10">
        <f>IFERROR(MATCH(1,E39:T39,0),"")</f>
        <v/>
      </c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</row>
    <row r="40">
      <c r="A40" s="9" t="n">
        <v>25</v>
      </c>
      <c r="B40" s="6" t="n"/>
      <c r="C40" s="10">
        <f>IF(COUNT(E40:T40)=0,"",COUNT(E40:T40))</f>
        <v/>
      </c>
      <c r="D40" s="10">
        <f>IFERROR(MATCH(1,E40:T40,0),"")</f>
        <v/>
      </c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</row>
  </sheetData>
  <mergeCells count="17">
    <mergeCell ref="C8:T8"/>
    <mergeCell ref="C6:T6"/>
    <mergeCell ref="C7:T7"/>
    <mergeCell ref="A7:B7"/>
    <mergeCell ref="C1:T1"/>
    <mergeCell ref="C11:T11"/>
    <mergeCell ref="C10:T10"/>
    <mergeCell ref="C2:T2"/>
    <mergeCell ref="A10:B10"/>
    <mergeCell ref="A5:B5"/>
    <mergeCell ref="A11:B11"/>
    <mergeCell ref="A13:T13"/>
    <mergeCell ref="C5:T5"/>
    <mergeCell ref="C9:T9"/>
    <mergeCell ref="A9:B9"/>
    <mergeCell ref="A8:B8"/>
    <mergeCell ref="A6:B6"/>
  </mergeCells>
  <conditionalFormatting sqref="E16:T40">
    <cfRule type="cellIs" priority="1" operator="equal" dxfId="0">
      <formula>1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</cols>
  <sheetData>
    <row r="1" ht="24" customHeight="1">
      <c r="C1" s="1" t="inlineStr">
        <is>
          <t>HISTOGRAMA DE PERSONAL</t>
        </is>
      </c>
    </row>
    <row r="2" ht="24" customHeight="1">
      <c r="C2" s="2" t="inlineStr">
        <is>
          <t>FP-LIC-F02 · Formato obligatorio para enviar la oferta en el Portal de Contratistas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5" ht="42" customHeight="1">
      <c r="A5" s="7" t="inlineStr">
        <is>
          <t>Cantidad de personas en obra por semana y categoría. El total y el gráfico se calculan solos. Las cifras en azul son un ejemplo: reemplácelas.</t>
        </is>
      </c>
    </row>
    <row r="7" ht="30" customHeight="1">
      <c r="A7" s="8" t="inlineStr">
        <is>
          <t>Categoría</t>
        </is>
      </c>
      <c r="B7" s="8" t="inlineStr">
        <is>
          <t>Máximo</t>
        </is>
      </c>
      <c r="C7" s="8" t="inlineStr">
        <is>
          <t>S1</t>
        </is>
      </c>
      <c r="D7" s="8" t="inlineStr">
        <is>
          <t>S2</t>
        </is>
      </c>
      <c r="E7" s="8" t="inlineStr">
        <is>
          <t>S3</t>
        </is>
      </c>
      <c r="F7" s="8" t="inlineStr">
        <is>
          <t>S4</t>
        </is>
      </c>
      <c r="G7" s="8" t="inlineStr">
        <is>
          <t>S5</t>
        </is>
      </c>
      <c r="H7" s="8" t="inlineStr">
        <is>
          <t>S6</t>
        </is>
      </c>
      <c r="I7" s="8" t="inlineStr">
        <is>
          <t>S7</t>
        </is>
      </c>
      <c r="J7" s="8" t="inlineStr">
        <is>
          <t>S8</t>
        </is>
      </c>
      <c r="K7" s="8" t="inlineStr">
        <is>
          <t>S9</t>
        </is>
      </c>
      <c r="L7" s="8" t="inlineStr">
        <is>
          <t>S10</t>
        </is>
      </c>
      <c r="M7" s="8" t="inlineStr">
        <is>
          <t>S11</t>
        </is>
      </c>
      <c r="N7" s="8" t="inlineStr">
        <is>
          <t>S12</t>
        </is>
      </c>
      <c r="O7" s="8" t="inlineStr">
        <is>
          <t>S13</t>
        </is>
      </c>
      <c r="P7" s="8" t="inlineStr">
        <is>
          <t>S14</t>
        </is>
      </c>
      <c r="Q7" s="8" t="inlineStr">
        <is>
          <t>S15</t>
        </is>
      </c>
      <c r="R7" s="8" t="inlineStr">
        <is>
          <t>S16</t>
        </is>
      </c>
    </row>
    <row r="8">
      <c r="A8" s="6" t="inlineStr">
        <is>
          <t>Residente / Ing. de campo</t>
        </is>
      </c>
      <c r="B8" s="12">
        <f>MAX(C8:R8)</f>
        <v/>
      </c>
      <c r="C8" s="13" t="n">
        <v>1</v>
      </c>
      <c r="D8" s="13" t="n">
        <v>1</v>
      </c>
      <c r="E8" s="13" t="n">
        <v>1</v>
      </c>
      <c r="F8" s="13" t="n">
        <v>1</v>
      </c>
      <c r="G8" s="13" t="n">
        <v>1</v>
      </c>
      <c r="H8" s="13" t="n">
        <v>1</v>
      </c>
      <c r="I8" s="13" t="n">
        <v>1</v>
      </c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</row>
    <row r="9">
      <c r="A9" s="6" t="inlineStr">
        <is>
          <t>Prevencionista SSOMA</t>
        </is>
      </c>
      <c r="B9" s="12">
        <f>MAX(C9:R9)</f>
        <v/>
      </c>
      <c r="C9" s="13" t="n">
        <v>1</v>
      </c>
      <c r="D9" s="13" t="n">
        <v>1</v>
      </c>
      <c r="E9" s="13" t="n">
        <v>1</v>
      </c>
      <c r="F9" s="13" t="n">
        <v>1</v>
      </c>
      <c r="G9" s="13" t="n">
        <v>1</v>
      </c>
      <c r="H9" s="13" t="n">
        <v>1</v>
      </c>
      <c r="I9" s="13" t="n">
        <v>1</v>
      </c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</row>
    <row r="10">
      <c r="A10" s="6" t="inlineStr">
        <is>
          <t>Capataz</t>
        </is>
      </c>
      <c r="B10" s="12">
        <f>MAX(C10:R10)</f>
        <v/>
      </c>
      <c r="C10" s="13" t="n">
        <v>1</v>
      </c>
      <c r="D10" s="13" t="n">
        <v>1</v>
      </c>
      <c r="E10" s="13" t="n">
        <v>1</v>
      </c>
      <c r="F10" s="13" t="n">
        <v>1</v>
      </c>
      <c r="G10" s="13" t="n">
        <v>1</v>
      </c>
      <c r="H10" s="13" t="n">
        <v>1</v>
      </c>
      <c r="I10" s="13" t="n">
        <v>1</v>
      </c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6" t="inlineStr">
        <is>
          <t>Operario</t>
        </is>
      </c>
      <c r="B11" s="12">
        <f>MAX(C11:R11)</f>
        <v/>
      </c>
      <c r="C11" s="13" t="n">
        <v>2</v>
      </c>
      <c r="D11" s="13" t="n">
        <v>6</v>
      </c>
      <c r="E11" s="13" t="n">
        <v>6</v>
      </c>
      <c r="F11" s="13" t="n">
        <v>6</v>
      </c>
      <c r="G11" s="13" t="n">
        <v>6</v>
      </c>
      <c r="H11" s="13" t="n">
        <v>4</v>
      </c>
      <c r="I11" s="13" t="n">
        <v>2</v>
      </c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</row>
    <row r="12">
      <c r="A12" s="6" t="inlineStr">
        <is>
          <t>Oficial</t>
        </is>
      </c>
      <c r="B12" s="12">
        <f>MAX(C12:R12)</f>
        <v/>
      </c>
      <c r="C12" s="13" t="n">
        <v>2</v>
      </c>
      <c r="D12" s="13" t="n">
        <v>4</v>
      </c>
      <c r="E12" s="13" t="n">
        <v>4</v>
      </c>
      <c r="F12" s="13" t="n">
        <v>4</v>
      </c>
      <c r="G12" s="13" t="n">
        <v>4</v>
      </c>
      <c r="H12" s="13" t="n">
        <v>3</v>
      </c>
      <c r="I12" s="13" t="n">
        <v>1</v>
      </c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6" t="inlineStr">
        <is>
          <t>Ayudante</t>
        </is>
      </c>
      <c r="B13" s="12">
        <f>MAX(C13:R13)</f>
        <v/>
      </c>
      <c r="C13" s="13" t="n">
        <v>2</v>
      </c>
      <c r="D13" s="13" t="n">
        <v>6</v>
      </c>
      <c r="E13" s="13" t="n">
        <v>6</v>
      </c>
      <c r="F13" s="13" t="n">
        <v>6</v>
      </c>
      <c r="G13" s="13" t="n">
        <v>6</v>
      </c>
      <c r="H13" s="13" t="n">
        <v>4</v>
      </c>
      <c r="I13" s="13" t="n">
        <v>2</v>
      </c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6" t="inlineStr">
        <is>
          <t>Soldador homologado</t>
        </is>
      </c>
      <c r="B14" s="12">
        <f>MAX(C14:R14)</f>
        <v/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6" t="inlineStr">
        <is>
          <t>Electricista</t>
        </is>
      </c>
      <c r="B15" s="12">
        <f>MAX(C15:R15)</f>
        <v/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1</v>
      </c>
      <c r="H15" s="13" t="n">
        <v>1</v>
      </c>
      <c r="I15" s="13" t="n">
        <v>1</v>
      </c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</row>
    <row r="16">
      <c r="A16" s="6" t="inlineStr">
        <is>
          <t>Otros</t>
        </is>
      </c>
      <c r="B16" s="12">
        <f>MAX(C16:R16)</f>
        <v/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</row>
    <row r="17">
      <c r="A17" s="14" t="inlineStr">
        <is>
          <t>TOTAL EN OBRA</t>
        </is>
      </c>
      <c r="B17" s="15">
        <f>MAX(C17:R17)</f>
        <v/>
      </c>
      <c r="C17" s="16">
        <f>SUM(C8:C16)</f>
        <v/>
      </c>
      <c r="D17" s="16">
        <f>SUM(D8:D16)</f>
        <v/>
      </c>
      <c r="E17" s="16">
        <f>SUM(E8:E16)</f>
        <v/>
      </c>
      <c r="F17" s="16">
        <f>SUM(F8:F16)</f>
        <v/>
      </c>
      <c r="G17" s="16">
        <f>SUM(G8:G16)</f>
        <v/>
      </c>
      <c r="H17" s="16">
        <f>SUM(H8:H16)</f>
        <v/>
      </c>
      <c r="I17" s="16">
        <f>SUM(I8:I16)</f>
        <v/>
      </c>
      <c r="J17" s="16">
        <f>SUM(J8:J16)</f>
        <v/>
      </c>
      <c r="K17" s="16">
        <f>SUM(K8:K16)</f>
        <v/>
      </c>
      <c r="L17" s="16">
        <f>SUM(L8:L16)</f>
        <v/>
      </c>
      <c r="M17" s="16">
        <f>SUM(M8:M16)</f>
        <v/>
      </c>
      <c r="N17" s="16">
        <f>SUM(N8:N16)</f>
        <v/>
      </c>
      <c r="O17" s="16">
        <f>SUM(O8:O16)</f>
        <v/>
      </c>
      <c r="P17" s="16">
        <f>SUM(P8:P16)</f>
        <v/>
      </c>
      <c r="Q17" s="16">
        <f>SUM(Q8:Q16)</f>
        <v/>
      </c>
      <c r="R17" s="16">
        <f>SUM(R8:R16)</f>
        <v/>
      </c>
    </row>
    <row r="18">
      <c r="A18" s="17" t="inlineStr">
        <is>
          <t>Horas-hombre (48 h/semana)</t>
        </is>
      </c>
      <c r="C18" s="18">
        <f>C17*48</f>
        <v/>
      </c>
      <c r="D18" s="18">
        <f>D17*48</f>
        <v/>
      </c>
      <c r="E18" s="18">
        <f>E17*48</f>
        <v/>
      </c>
      <c r="F18" s="18">
        <f>F17*48</f>
        <v/>
      </c>
      <c r="G18" s="18">
        <f>G17*48</f>
        <v/>
      </c>
      <c r="H18" s="18">
        <f>H17*48</f>
        <v/>
      </c>
      <c r="I18" s="18">
        <f>I17*48</f>
        <v/>
      </c>
      <c r="J18" s="18">
        <f>J17*48</f>
        <v/>
      </c>
      <c r="K18" s="18">
        <f>K17*48</f>
        <v/>
      </c>
      <c r="L18" s="18">
        <f>L17*48</f>
        <v/>
      </c>
      <c r="M18" s="18">
        <f>M17*48</f>
        <v/>
      </c>
      <c r="N18" s="18">
        <f>N17*48</f>
        <v/>
      </c>
      <c r="O18" s="18">
        <f>O17*48</f>
        <v/>
      </c>
      <c r="P18" s="18">
        <f>P17*48</f>
        <v/>
      </c>
      <c r="Q18" s="18">
        <f>Q17*48</f>
        <v/>
      </c>
      <c r="R18" s="18">
        <f>R17*48</f>
        <v/>
      </c>
    </row>
  </sheetData>
  <mergeCells count="3">
    <mergeCell ref="C2:R2"/>
    <mergeCell ref="C1:R1"/>
    <mergeCell ref="A5:R5"/>
  </mergeCells>
  <pageMargins left="0.75" right="0.75" top="1" bottom="1" header="0.5" footer="0.5"/>
  <pageSetup orientation="landscape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2026-09-21T20:25:54Z</dcterms:created>
  <dcterms:modified xmlns:dcterms="http://purl.org/dc/terms/" xmlns:xsi="http://www.w3.org/2001/XMLSchema-instance" xsi:type="dcterms:W3CDTF">2026-09-21T20:25:54Z</dcterms:modified>
</cp:coreProperties>
</file>